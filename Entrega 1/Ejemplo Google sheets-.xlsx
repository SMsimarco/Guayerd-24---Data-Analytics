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 1" sheetId="1" r:id="rId4"/>
    <sheet state="visible" name="Tabla dinámica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<sst xmlns="http://schemas.openxmlformats.org/spreadsheetml/2006/main" count="58" uniqueCount="34">
  <si>
    <t>Provincia</t>
  </si>
  <si>
    <t>Fecha de medición</t>
  </si>
  <si>
    <t>PBI (USD)</t>
  </si>
  <si>
    <t>Analfabetismo</t>
  </si>
  <si>
    <t>Pobreza</t>
  </si>
  <si>
    <t>Abandono escolar</t>
  </si>
  <si>
    <t>Población</t>
  </si>
  <si>
    <t>Cines per cápita</t>
  </si>
  <si>
    <t>Doctores per cápita</t>
  </si>
  <si>
    <t>Doc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</si>
  <si>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</si>
  <si>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</si>
  <si>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</si>
  <si>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</si>
  <si>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</si>
  <si>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</si>
  <si>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</si>
  <si>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</si>
  <si>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</si>
  <si>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</si>
  <si>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</si>
  <si>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</si>
  <si>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</si>
  <si>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</si>
  <si>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</si>
  <si>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</si>
  <si>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</si>
  <si>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</si>
  <si>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</si>
  <si>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</si>
  <si>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</si>
  <si>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</si>
  <si>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Tuc</t>
  </si>
  <si>
    <t>SUM de Pobreza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</si>
</sst>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0.0%"/>
    <numFmt numFmtId="166" formatCode="_-&quot;$&quot;\ * #,##0.00_-;\-&quot;$&quot;\ * #,##0.00_-;_-&quot;$&quot;\ * &quot;-&quot;??_-;_-@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10" xfId="0" applyAlignment="1" applyBorder="1" applyFont="1" applyNumberFormat="1">
      <alignment shrinkToFit="0" vertical="center" wrapText="0"/>
    </xf>
    <xf borderId="5" fillId="0" fontId="1" numFmtId="165" xfId="0" applyAlignment="1" applyBorder="1" applyFont="1" applyNumberFormat="1">
      <alignment shrinkToFit="0" vertical="center" wrapText="0"/>
    </xf>
    <xf borderId="5" fillId="0" fontId="1" numFmtId="2" xfId="0" applyAlignment="1" applyBorder="1" applyFont="1" applyNumberFormat="1">
      <alignment shrinkToFit="0" vertical="center" wrapText="0"/>
    </xf>
    <xf borderId="5" fillId="0" fontId="1" numFmtId="166" xfId="0" applyAlignment="1" applyBorder="1" applyFont="1" applyNumberFormat="1">
      <alignment shrinkToFit="0" vertical="center" wrapText="0"/>
    </xf>
    <xf borderId="5" fillId="0" fontId="1" numFmtId="1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10" xfId="0" applyAlignment="1" applyBorder="1" applyFont="1" applyNumberFormat="1">
      <alignment shrinkToFit="0" vertical="center" wrapText="0"/>
    </xf>
    <xf borderId="8" fillId="0" fontId="1" numFmtId="165" xfId="0" applyAlignment="1" applyBorder="1" applyFont="1" applyNumberFormat="1">
      <alignment shrinkToFit="0" vertical="center" wrapText="0"/>
    </xf>
    <xf borderId="8" fillId="0" fontId="1" numFmtId="2" xfId="0" applyAlignment="1" applyBorder="1" applyFont="1" applyNumberFormat="1">
      <alignment shrinkToFit="0" vertical="center" wrapText="0"/>
    </xf>
    <xf borderId="8" fillId="0" fontId="1" numFmtId="166" xfId="0" applyAlignment="1" applyBorder="1" applyFont="1" applyNumberFormat="1">
      <alignment shrinkToFit="0" vertical="center" wrapText="0"/>
    </xf>
    <xf borderId="8" fillId="0" fontId="1" numFmtId="1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5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4" sheet="Página 1"/>
  </cacheSource>
  <cacheFields>
    <cacheField name="Provincia" numFmtId="0">
      <sharedItems>
        <s v="Buenos Aires"/>
        <s v="Catamarca"/>
        <s v="Córdoba"/>
        <s v="Corrientes"/>
        <s v="Chaco"/>
        <s v="Chubut"/>
        <s v="Entre Ríos"/>
        <s v="Formosa"/>
        <s v="Jujuy"/>
        <s v="La Pampa"/>
        <s v="La Rioja"/>
        <s v="Mendoza"/>
        <s v="Misiones"/>
        <s v="Neuquén"/>
        <s v="Río Negro"/>
        <s v="Salta"/>
        <s v="San Juan"/>
        <s v="San Luis"/>
        <s v="Santa Cruz"/>
        <s v="Santa Fe"/>
        <s v="Santiago del Estero"/>
        <s v="Tucumán"/>
        <s v="Tuc"/>
      </sharedItems>
    </cacheField>
    <cacheField name="Fecha de medición" numFmtId="164">
      <sharedItems containsDate="1" containsString="0" containsBlank="1">
        <d v="2010-12-12T00:00:00Z"/>
        <m/>
      </sharedItems>
    </cacheField>
    <cacheField name="PBI (USD)" numFmtId="10">
      <sharedItems containsString="0" containsBlank="1" containsNumber="1">
        <n v="2.92689867987582E8"/>
        <n v="6150949.15918587"/>
        <n v="6.93637391881543E7"/>
        <n v="7968012.98234275"/>
        <n v="9832642.67153144"/>
        <n v="1.77478542076598E7"/>
        <n v="2.07434090958049E7"/>
        <n v="3807057.41864849"/>
        <n v="6484938.33369074"/>
        <n v="6990262.45761227"/>
        <n v="5590515.62831714"/>
        <n v="3.34313691065576E7"/>
        <n v="9646825.83451666"/>
        <n v="2.2564106155859E7"/>
        <n v="1.0264584418045E7"/>
        <n v="1.34388349101531E7"/>
        <n v="8262308.56777371"/>
        <n v="1.17808493628145E7"/>
        <n v="1.16637380449566E7"/>
        <n v="8.1588690274935E7"/>
        <n v="8387858.7309371"/>
        <n v="1.38561989040229E7"/>
        <m/>
      </sharedItems>
    </cacheField>
    <cacheField name="Analfabetismo" numFmtId="165">
      <sharedItems containsString="0" containsBlank="1" containsNumber="1">
        <n v="0.0138324"/>
        <n v="0.0234414"/>
        <n v="0.0271414"/>
        <n v="0.0560242"/>
        <n v="0.0751758"/>
        <n v="0.0154806"/>
        <n v="0.0318558"/>
        <n v="0.0461064"/>
        <n v="0.021513900000000002"/>
        <n v="0.015392999999999999"/>
        <n v="0.027732100000000003"/>
        <n v="0.022002"/>
        <n v="0.0686395"/>
        <n v="0.0194375"/>
        <n v="0.020314199999999998"/>
        <n v="0.0334609"/>
        <n v="0.029632600000000002"/>
        <n v="0.0343365"/>
        <n v="0.00791485"/>
        <n v="0.0197594"/>
        <n v="0.06272090000000001"/>
        <n v="0.0377037"/>
        <m/>
      </sharedItems>
    </cacheField>
    <cacheField name="Pobreza" numFmtId="165">
      <sharedItems containsString="0" containsBlank="1" containsNumber="1">
        <n v="0.08167797642491109"/>
        <n v="0.0923409512044471"/>
        <n v="0.0538238026951108"/>
        <n v="0.127471906585473"/>
        <n v="0.158626192230504"/>
        <n v="0.0805175220390819"/>
        <n v="0.0728875109891987"/>
        <n v="0.170355832108501"/>
        <n v="0.133679651396589"/>
        <n v="0.0339877369634921"/>
        <n v="0.10875151825097401"/>
        <n v="0.056927984296405304"/>
        <n v="0.13529787587848602"/>
        <n v="0.09456634648678451"/>
        <n v="0.08678390743664499"/>
        <n v="0.168705000115015"/>
        <n v="0.09050783891007891"/>
        <n v="0.0659377100604974"/>
        <n v="0.08024761832274101"/>
        <n v="0.060810124144865904"/>
        <n v="0.117590001376318"/>
        <n v="0.11214239206984"/>
        <m/>
      </sharedItems>
    </cacheField>
    <cacheField name="Abandono escolar" numFmtId="2">
      <sharedItems containsString="0" containsBlank="1" containsNumber="1">
        <n v="0.0766168239903095"/>
        <n v="0.0951963066122331"/>
        <n v="0.10350557842317301"/>
        <n v="0.38642652247861203"/>
        <n v="0.257746208023846"/>
        <n v="0.0586309424381113"/>
        <n v="0.188718808974628"/>
        <n v="0.226897409795273"/>
        <n v="0.0721294504208486"/>
        <n v="0.0204093365528351"/>
        <n v="0.38449494497628905"/>
        <n v="0.10637178569925501"/>
        <n v="0.31291244419450603"/>
        <n v="0.139350381310656"/>
        <n v="0.04080420438257731"/>
        <n v="0.148202995956027"/>
        <n v="0.329841291160208"/>
        <n v="0.20001724286576403"/>
        <n v="0.028926223520817"/>
        <n v="0.287218071262542"/>
        <n v="0.232559808269111"/>
        <n v="0.09772847332276911"/>
        <m/>
      </sharedItems>
    </cacheField>
    <cacheField name="Población" numFmtId="166">
      <sharedItems containsString="0" containsBlank="1" containsNumber="1" containsInteger="1">
        <n v="1.5625084E7"/>
        <n v="367828.0"/>
        <n v="3308876.0"/>
        <n v="992595.0"/>
        <n v="1055259.0"/>
        <n v="509108.0"/>
        <n v="1235994.0"/>
        <n v="530162.0"/>
        <n v="673307.0"/>
        <n v="318951.0"/>
        <n v="333642.0"/>
        <n v="1738929.0"/>
        <n v="1101593.0"/>
        <n v="551266.0"/>
        <n v="638645.0"/>
        <n v="1214441.0"/>
        <n v="681055.0"/>
        <n v="432310.0"/>
        <n v="273964.0"/>
        <n v="3194537.0"/>
        <n v="874006.0"/>
        <n v="1448188.0"/>
        <m/>
      </sharedItems>
    </cacheField>
    <cacheField name="Cines per cápita" numFmtId="2">
      <sharedItems containsString="0" containsBlank="1" containsNumber="1">
        <n v="6.01596765815787E-6"/>
        <n v="5.43732396663658E-6"/>
        <n v="1.11820448998391E-5"/>
        <n v="4.02984097240062E-6"/>
        <n v="2.84290396954681E-6"/>
        <n v="1.57137581809753E-5"/>
        <n v="5.66345791322611E-6"/>
        <n v="3.77243182272588E-6"/>
        <n v="2.97041319932809E-6"/>
        <n v="1.88116669958708E-5"/>
        <n v="1.19888982801925E-5"/>
        <n v="8.05093249925672E-6"/>
        <n v="1.81555256796294E-6"/>
        <n v="9.07003152742958E-6"/>
        <n v="9.3948907452497E-6"/>
        <n v="4.11712055176002E-6"/>
        <n v="5.87324078084736E-6"/>
        <n v="4.62630982396891E-6"/>
        <n v="1.09503438407966E-5"/>
        <n v="6.57372257701194E-6"/>
        <n v="3.43247071530401E-6"/>
        <n v="4.83362657334545E-6"/>
        <m/>
      </sharedItems>
    </cacheField>
    <cacheField name="Doctores per cápita" numFmtId="14">
      <sharedItems containsDate="1" containsString="0" containsBlank="1">
        <d v="1899-12-30T00:06:57Z"/>
        <d v="1899-12-30T00:06:28Z"/>
        <d v="1899-12-30T00:14:39Z"/>
        <d v="1899-12-30T00:06:28Z"/>
        <d v="1899-12-30T00:05:11Z"/>
        <d v="1899-12-30T00:06:28Z"/>
        <d v="1899-12-30T00:06:44Z"/>
        <d v="1899-12-30T00:04:57Z"/>
        <d v="1899-12-30T00:05:41Z"/>
        <d v="1899-12-30T00:07:47Z"/>
        <d v="1899-12-30T00:07:19Z"/>
        <d v="1899-12-30T00:08:14Z"/>
        <d v="1899-12-30T00:04:08Z"/>
        <d v="1899-12-30T00:07:17Z"/>
        <d v="1899-12-30T00:07:03Z"/>
        <d v="1899-12-30T00:05:44Z"/>
        <d v="1899-12-30T00:07:15Z"/>
        <d v="1899-12-30T00:08:47Z"/>
        <d v="1899-12-30T00:06:08Z"/>
        <d v="1899-12-30T00:09:36Z"/>
        <d v="1899-12-30T00:04:03Z"/>
        <d v="1899-12-30T00:07:55Z"/>
        <m/>
      </sharedItems>
    </cacheField>
    <cacheField name="Doc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rowGrandTotals="0" compact="0" compactData="0">
  <location ref="A1:B24" firstHeaderRow="0" firstDataRow="1" firstDataCol="0"/>
  <pivotFields>
    <pivotField name="Provincia" axis="axisRow" compact="0" outline="0" multipleItemSelectionAllowed="1" showAll="0" sortType="ascending">
      <items>
        <item x="0"/>
        <item x="1"/>
        <item x="4"/>
        <item x="5"/>
        <item x="2"/>
        <item x="3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t="default"/>
      </items>
    </pivotField>
    <pivotField name="Fecha de medición" compact="0" numFmtId="164" outline="0" multipleItemSelectionAllowed="1" showAll="0">
      <items>
        <item x="0"/>
        <item x="1"/>
        <item t="default"/>
      </items>
    </pivotField>
    <pivotField name="PBI (USD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nalfabetism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obrez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bandono escolar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oblació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ines per cápita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octores per cápit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oc" compact="0" outline="0" multipleItemSelectionAllowed="1" showAll="0">
      <items>
        <item x="0"/>
        <item t="default"/>
      </items>
    </pivotField>
  </pivotFields>
  <rowFields>
    <field x="0"/>
  </rowFields>
  <dataFields>
    <dataField name="SUM of Pobreza" fld="4" baseField="0"/>
  </dataFields>
</pivotTableDefinition>
</file>

<file path=xl/tables/table1.xml><?xml version="1.0" encoding="utf-8"?>
<table xmlns="http://schemas.openxmlformats.org/spreadsheetml/2006/main" ref="A1:J24" displayName="tablaProvincias" name="tablaProvincias" id="1">
  <tableColumns count="10">
    <tableColumn name="Provincia" id="1"/>
    <tableColumn name="Fecha de medición" id="2"/>
    <tableColumn name="PBI (USD)" id="3"/>
    <tableColumn name="Analfabetismo" id="4"/>
    <tableColumn name="Pobreza" id="5"/>
    <tableColumn name="Abandono escolar" id="6"/>
    <tableColumn name="Población" id="7"/>
    <tableColumn name="Cines per cápita" id="8"/>
    <tableColumn name="Doctores per cápita" id="9"/>
    <tableColumn name="Doc" id="10"/>
  </tableColumns>
  <tableStyleInfo name="Págin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20.13"/>
    <col customWidth="1" min="3" max="3" width="17.13"/>
    <col customWidth="1" min="4" max="4" width="16.5"/>
    <col customWidth="1" min="5" max="5" width="13.38"/>
    <col customWidth="1" min="6" max="6" width="18.0"/>
    <col customWidth="1" min="7" max="7" width="16.38"/>
    <col customWidth="1" min="8" max="8" width="17.88"/>
    <col customWidth="1" min="9" max="9" width="11.13"/>
    <col customWidth="1" min="10" max="10" width="15.88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4" t="s">
        <v>10</v>
      </c>
      <c r="B2" s="5">
        <v>40524.0</v>
      </c>
      <c r="C2" s="6">
        <v>2.92689867987582E8</v>
      </c>
      <c r="D2" s="7">
        <v>0.0138324</v>
      </c>
      <c r="E2" s="7">
        <v>0.08167797642491109</v>
      </c>
      <c r="F2" s="8">
        <v>0.0766168239903095</v>
      </c>
      <c r="G2" s="9">
        <v>1.5625084E7</v>
      </c>
      <c r="H2" s="8">
        <v>6.01596765815787E-6</v>
      </c>
      <c r="I2" s="10">
        <v>0.0048356220036961</v>
      </c>
      <c r="J2" s="11"/>
    </row>
    <row r="3" ht="15.75" customHeight="1">
      <c r="A3" s="12" t="s">
        <v>11</v>
      </c>
      <c r="B3" s="13">
        <v>40524.0</v>
      </c>
      <c r="C3" s="14">
        <v>6150949.15918587</v>
      </c>
      <c r="D3" s="15">
        <v>0.0234414</v>
      </c>
      <c r="E3" s="15">
        <v>0.0923409512044471</v>
      </c>
      <c r="F3" s="16">
        <v>0.0951963066122331</v>
      </c>
      <c r="G3" s="17">
        <v>367828.0</v>
      </c>
      <c r="H3" s="16">
        <v>5.43732396663658E-6</v>
      </c>
      <c r="I3" s="18">
        <v>0.00450210424437508</v>
      </c>
      <c r="J3" s="19"/>
    </row>
    <row r="4" ht="15.75" customHeight="1">
      <c r="A4" s="4" t="s">
        <v>12</v>
      </c>
      <c r="B4" s="5">
        <v>40524.0</v>
      </c>
      <c r="C4" s="6">
        <v>6.93637391881543E7</v>
      </c>
      <c r="D4" s="7">
        <v>0.0271414</v>
      </c>
      <c r="E4" s="7">
        <v>0.0538238026951108</v>
      </c>
      <c r="F4" s="8">
        <v>0.10350557842317301</v>
      </c>
      <c r="G4" s="9">
        <v>3308876.0</v>
      </c>
      <c r="H4" s="8">
        <v>1.11820448998391E-5</v>
      </c>
      <c r="I4" s="10">
        <v>0.0101753586414238</v>
      </c>
      <c r="J4" s="11"/>
    </row>
    <row r="5" ht="15.75" customHeight="1">
      <c r="A5" s="12" t="s">
        <v>13</v>
      </c>
      <c r="B5" s="13">
        <v>40524.0</v>
      </c>
      <c r="C5" s="14">
        <v>7968012.98234275</v>
      </c>
      <c r="D5" s="15">
        <v>0.0560242</v>
      </c>
      <c r="E5" s="15">
        <v>0.127471906585473</v>
      </c>
      <c r="F5" s="16">
        <v>0.38642652247861203</v>
      </c>
      <c r="G5" s="17">
        <v>992595.0</v>
      </c>
      <c r="H5" s="16">
        <v>4.02984097240062E-6</v>
      </c>
      <c r="I5" s="18">
        <v>0.00449528760471289</v>
      </c>
      <c r="J5" s="19"/>
    </row>
    <row r="6" ht="15.75" customHeight="1">
      <c r="A6" s="4" t="s">
        <v>14</v>
      </c>
      <c r="B6" s="5">
        <v>40524.0</v>
      </c>
      <c r="C6" s="6">
        <v>9832642.67153144</v>
      </c>
      <c r="D6" s="7">
        <v>0.0751758</v>
      </c>
      <c r="E6" s="7">
        <v>0.158626192230504</v>
      </c>
      <c r="F6" s="8">
        <v>0.257746208023846</v>
      </c>
      <c r="G6" s="9">
        <v>1055259.0</v>
      </c>
      <c r="H6" s="8">
        <v>2.84290396954681E-6</v>
      </c>
      <c r="I6" s="10">
        <v>0.00360480223338535</v>
      </c>
      <c r="J6" s="11"/>
    </row>
    <row r="7" ht="15.75" customHeight="1">
      <c r="A7" s="12" t="s">
        <v>15</v>
      </c>
      <c r="B7" s="13">
        <v>40524.0</v>
      </c>
      <c r="C7" s="14">
        <v>1.77478542076598E7</v>
      </c>
      <c r="D7" s="15">
        <v>0.0154806</v>
      </c>
      <c r="E7" s="15">
        <v>0.0805175220390819</v>
      </c>
      <c r="F7" s="16">
        <v>0.0586309424381113</v>
      </c>
      <c r="G7" s="17">
        <v>509108.0</v>
      </c>
      <c r="H7" s="16">
        <v>1.57137581809753E-5</v>
      </c>
      <c r="I7" s="18">
        <v>0.00449806327930419</v>
      </c>
      <c r="J7" s="19"/>
    </row>
    <row r="8" ht="15.75" customHeight="1">
      <c r="A8" s="4" t="s">
        <v>16</v>
      </c>
      <c r="B8" s="5">
        <v>40524.0</v>
      </c>
      <c r="C8" s="6">
        <v>2.07434090958049E7</v>
      </c>
      <c r="D8" s="7">
        <v>0.0318558</v>
      </c>
      <c r="E8" s="7">
        <v>0.0728875109891987</v>
      </c>
      <c r="F8" s="8">
        <v>0.188718808974628</v>
      </c>
      <c r="G8" s="9">
        <v>1235994.0</v>
      </c>
      <c r="H8" s="8">
        <v>5.66345791322611E-6</v>
      </c>
      <c r="I8" s="10">
        <v>0.00467882530174094</v>
      </c>
      <c r="J8" s="11"/>
    </row>
    <row r="9" ht="15.75" customHeight="1">
      <c r="A9" s="12" t="s">
        <v>17</v>
      </c>
      <c r="B9" s="13">
        <v>40524.0</v>
      </c>
      <c r="C9" s="14">
        <v>3807057.41864849</v>
      </c>
      <c r="D9" s="15">
        <v>0.0461064</v>
      </c>
      <c r="E9" s="15">
        <v>0.170355832108501</v>
      </c>
      <c r="F9" s="16">
        <v>0.226897409795273</v>
      </c>
      <c r="G9" s="17">
        <v>530162.0</v>
      </c>
      <c r="H9" s="16">
        <v>3.77243182272588E-6</v>
      </c>
      <c r="I9" s="18">
        <v>0.003440457822326</v>
      </c>
      <c r="J9" s="19"/>
    </row>
    <row r="10" ht="15.75" customHeight="1">
      <c r="A10" s="4" t="s">
        <v>18</v>
      </c>
      <c r="B10" s="5">
        <v>40524.0</v>
      </c>
      <c r="C10" s="6">
        <v>6484938.33369074</v>
      </c>
      <c r="D10" s="7">
        <v>0.021513900000000002</v>
      </c>
      <c r="E10" s="7">
        <v>0.133679651396589</v>
      </c>
      <c r="F10" s="8">
        <v>0.0721294504208486</v>
      </c>
      <c r="G10" s="9">
        <v>673307.0</v>
      </c>
      <c r="H10" s="8">
        <v>2.97041319932809E-6</v>
      </c>
      <c r="I10" s="10">
        <v>0.00395807558810468</v>
      </c>
      <c r="J10" s="11"/>
    </row>
    <row r="11" ht="15.75" customHeight="1">
      <c r="A11" s="12" t="s">
        <v>19</v>
      </c>
      <c r="B11" s="13">
        <v>40524.0</v>
      </c>
      <c r="C11" s="14">
        <v>6990262.45761227</v>
      </c>
      <c r="D11" s="15">
        <v>0.015392999999999999</v>
      </c>
      <c r="E11" s="15">
        <v>0.0339877369634921</v>
      </c>
      <c r="F11" s="16">
        <v>0.0204093365528351</v>
      </c>
      <c r="G11" s="17">
        <v>318951.0</v>
      </c>
      <c r="H11" s="16">
        <v>1.88116669958708E-5</v>
      </c>
      <c r="I11" s="18">
        <v>0.00541462481697815</v>
      </c>
      <c r="J11" s="19"/>
    </row>
    <row r="12" ht="15.75" customHeight="1">
      <c r="A12" s="4" t="s">
        <v>20</v>
      </c>
      <c r="B12" s="5">
        <v>40524.0</v>
      </c>
      <c r="C12" s="6">
        <v>5590515.62831714</v>
      </c>
      <c r="D12" s="7">
        <v>0.027732100000000003</v>
      </c>
      <c r="E12" s="7">
        <v>0.10875151825097401</v>
      </c>
      <c r="F12" s="8">
        <v>0.38449494497628905</v>
      </c>
      <c r="G12" s="9">
        <v>333642.0</v>
      </c>
      <c r="H12" s="8">
        <v>1.19888982801925E-5</v>
      </c>
      <c r="I12" s="10">
        <v>0.00509228454451178</v>
      </c>
      <c r="J12" s="11"/>
    </row>
    <row r="13" ht="15.75" customHeight="1">
      <c r="A13" s="12" t="s">
        <v>21</v>
      </c>
      <c r="B13" s="13">
        <v>40524.0</v>
      </c>
      <c r="C13" s="14">
        <v>3.34313691065576E7</v>
      </c>
      <c r="D13" s="15">
        <v>0.022002</v>
      </c>
      <c r="E13" s="15">
        <v>0.056927984296405304</v>
      </c>
      <c r="F13" s="16">
        <v>0.10637178569925501</v>
      </c>
      <c r="G13" s="17">
        <v>1738929.0</v>
      </c>
      <c r="H13" s="16">
        <v>8.05093249925672E-6</v>
      </c>
      <c r="I13" s="18">
        <v>0.0057201875407219</v>
      </c>
      <c r="J13" s="19"/>
    </row>
    <row r="14" ht="15.75" customHeight="1">
      <c r="A14" s="4" t="s">
        <v>22</v>
      </c>
      <c r="B14" s="5">
        <v>40524.0</v>
      </c>
      <c r="C14" s="6">
        <v>9646825.83451666</v>
      </c>
      <c r="D14" s="7">
        <v>0.0686395</v>
      </c>
      <c r="E14" s="7">
        <v>0.13529787587848602</v>
      </c>
      <c r="F14" s="8">
        <v>0.31291244419450603</v>
      </c>
      <c r="G14" s="9">
        <v>1101593.0</v>
      </c>
      <c r="H14" s="8">
        <v>1.81555256796294E-6</v>
      </c>
      <c r="I14" s="10">
        <v>0.0028803741490732</v>
      </c>
      <c r="J14" s="11"/>
    </row>
    <row r="15" ht="15.75" customHeight="1">
      <c r="A15" s="12" t="s">
        <v>23</v>
      </c>
      <c r="B15" s="13">
        <v>40524.0</v>
      </c>
      <c r="C15" s="14">
        <v>2.2564106155859E7</v>
      </c>
      <c r="D15" s="15">
        <v>0.0194375</v>
      </c>
      <c r="E15" s="15">
        <v>0.09456634648678451</v>
      </c>
      <c r="F15" s="16">
        <v>0.139350381310656</v>
      </c>
      <c r="G15" s="17">
        <v>551266.0</v>
      </c>
      <c r="H15" s="16">
        <v>9.07003152742958E-6</v>
      </c>
      <c r="I15" s="18">
        <v>0.00506651961122216</v>
      </c>
      <c r="J15" s="19"/>
    </row>
    <row r="16" ht="15.75" customHeight="1">
      <c r="A16" s="4" t="s">
        <v>24</v>
      </c>
      <c r="B16" s="5">
        <v>40524.0</v>
      </c>
      <c r="C16" s="6">
        <v>1.0264584418045E7</v>
      </c>
      <c r="D16" s="7">
        <v>0.020314199999999998</v>
      </c>
      <c r="E16" s="7">
        <v>0.08678390743664499</v>
      </c>
      <c r="F16" s="8">
        <v>0.04080420438257731</v>
      </c>
      <c r="G16" s="9">
        <v>638645.0</v>
      </c>
      <c r="H16" s="8">
        <v>9.3948907452497E-6</v>
      </c>
      <c r="I16" s="10">
        <v>0.00489786970852351</v>
      </c>
      <c r="J16" s="11"/>
    </row>
    <row r="17" ht="15.75" customHeight="1">
      <c r="A17" s="12" t="s">
        <v>25</v>
      </c>
      <c r="B17" s="13">
        <v>40524.0</v>
      </c>
      <c r="C17" s="14">
        <v>1.34388349101531E7</v>
      </c>
      <c r="D17" s="15">
        <v>0.0334609</v>
      </c>
      <c r="E17" s="15">
        <v>0.168705000115015</v>
      </c>
      <c r="F17" s="16">
        <v>0.148202995956027</v>
      </c>
      <c r="G17" s="17">
        <v>1214441.0</v>
      </c>
      <c r="H17" s="16">
        <v>4.11712055176002E-6</v>
      </c>
      <c r="I17" s="18">
        <v>0.00399113666287617</v>
      </c>
      <c r="J17" s="19"/>
    </row>
    <row r="18" ht="15.75" customHeight="1">
      <c r="A18" s="4" t="s">
        <v>26</v>
      </c>
      <c r="B18" s="5">
        <v>40524.0</v>
      </c>
      <c r="C18" s="6">
        <v>8262308.56777371</v>
      </c>
      <c r="D18" s="7">
        <v>0.029632600000000002</v>
      </c>
      <c r="E18" s="7">
        <v>0.09050783891007891</v>
      </c>
      <c r="F18" s="8">
        <v>0.329841291160208</v>
      </c>
      <c r="G18" s="9">
        <v>681055.0</v>
      </c>
      <c r="H18" s="8">
        <v>5.87324078084736E-6</v>
      </c>
      <c r="I18" s="10">
        <v>0.00504364552055267</v>
      </c>
      <c r="J18" s="11"/>
    </row>
    <row r="19" ht="15.75" customHeight="1">
      <c r="A19" s="12" t="s">
        <v>27</v>
      </c>
      <c r="B19" s="13">
        <v>40524.0</v>
      </c>
      <c r="C19" s="14">
        <v>1.17808493628145E7</v>
      </c>
      <c r="D19" s="15">
        <v>0.0343365</v>
      </c>
      <c r="E19" s="15">
        <v>0.0659377100604974</v>
      </c>
      <c r="F19" s="16">
        <v>0.20001724286576403</v>
      </c>
      <c r="G19" s="17">
        <v>432310.0</v>
      </c>
      <c r="H19" s="16">
        <v>4.62630982396891E-6</v>
      </c>
      <c r="I19" s="18">
        <v>0.00610210265781499</v>
      </c>
      <c r="J19" s="19"/>
    </row>
    <row r="20" ht="15.75" customHeight="1">
      <c r="A20" s="4" t="s">
        <v>28</v>
      </c>
      <c r="B20" s="5">
        <v>40524.0</v>
      </c>
      <c r="C20" s="6">
        <v>1.16637380449566E7</v>
      </c>
      <c r="D20" s="7">
        <v>0.00791485</v>
      </c>
      <c r="E20" s="7">
        <v>0.08024761832274101</v>
      </c>
      <c r="F20" s="8">
        <v>0.028926223520817</v>
      </c>
      <c r="G20" s="9">
        <v>273964.0</v>
      </c>
      <c r="H20" s="8">
        <v>1.09503438407966E-5</v>
      </c>
      <c r="I20" s="10">
        <v>0.00427063409791067</v>
      </c>
      <c r="J20" s="11"/>
    </row>
    <row r="21" ht="15.75" customHeight="1">
      <c r="A21" s="12" t="s">
        <v>29</v>
      </c>
      <c r="B21" s="13">
        <v>40524.0</v>
      </c>
      <c r="C21" s="14">
        <v>8.1588690274935E7</v>
      </c>
      <c r="D21" s="15">
        <v>0.0197594</v>
      </c>
      <c r="E21" s="15">
        <v>0.060810124144865904</v>
      </c>
      <c r="F21" s="16">
        <v>0.287218071262542</v>
      </c>
      <c r="G21" s="17">
        <v>3194537.0</v>
      </c>
      <c r="H21" s="16">
        <v>6.57372257701194E-6</v>
      </c>
      <c r="I21" s="18">
        <v>0.00667170234685026</v>
      </c>
      <c r="J21" s="19"/>
    </row>
    <row r="22" ht="15.75" customHeight="1">
      <c r="A22" s="4" t="s">
        <v>30</v>
      </c>
      <c r="B22" s="5">
        <v>40524.0</v>
      </c>
      <c r="C22" s="6">
        <v>8387858.7309371</v>
      </c>
      <c r="D22" s="7">
        <v>0.06272090000000001</v>
      </c>
      <c r="E22" s="7">
        <v>0.117590001376318</v>
      </c>
      <c r="F22" s="8">
        <v>0.232559808269111</v>
      </c>
      <c r="G22" s="9">
        <v>874006.0</v>
      </c>
      <c r="H22" s="8">
        <v>3.43247071530401E-6</v>
      </c>
      <c r="I22" s="10">
        <v>0.00282149092797989</v>
      </c>
      <c r="J22" s="11"/>
    </row>
    <row r="23" ht="15.75" customHeight="1">
      <c r="A23" s="12" t="s">
        <v>31</v>
      </c>
      <c r="B23" s="13">
        <v>40524.0</v>
      </c>
      <c r="C23" s="14">
        <v>1.38561989040229E7</v>
      </c>
      <c r="D23" s="15">
        <v>0.0377037</v>
      </c>
      <c r="E23" s="15">
        <v>0.11214239206984</v>
      </c>
      <c r="F23" s="16">
        <v>0.09772847332276911</v>
      </c>
      <c r="G23" s="17">
        <v>1448188.0</v>
      </c>
      <c r="H23" s="16">
        <v>4.83362657334545E-6</v>
      </c>
      <c r="I23" s="18">
        <v>0.00550066704046712</v>
      </c>
      <c r="J23" s="19"/>
    </row>
    <row r="24" ht="15.75" customHeight="1">
      <c r="A24" s="20" t="s">
        <v>32</v>
      </c>
      <c r="B24" s="21"/>
      <c r="C24" s="21"/>
      <c r="D24" s="22"/>
      <c r="E24" s="22"/>
      <c r="F24" s="21"/>
      <c r="G24" s="21"/>
      <c r="H24" s="21"/>
      <c r="I24" s="21"/>
      <c r="J24" s="2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E24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